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ka\Desktop\WHO\"/>
    </mc:Choice>
  </mc:AlternateContent>
  <xr:revisionPtr revIDLastSave="0" documentId="13_ncr:1_{99FD673A-ADB7-4B89-B4C6-EE3DE90D2201}" xr6:coauthVersionLast="47" xr6:coauthVersionMax="47" xr10:uidLastSave="{00000000-0000-0000-0000-000000000000}"/>
  <bookViews>
    <workbookView xWindow="-108" yWindow="-108" windowWidth="23256" windowHeight="12456" activeTab="3" xr2:uid="{823CD98D-A56A-4D38-A558-529B5F3A55B4}"/>
  </bookViews>
  <sheets>
    <sheet name="UVOD" sheetId="2" r:id="rId1"/>
    <sheet name="ADRESACE" sheetId="12" r:id="rId2"/>
    <sheet name="CVICENI" sheetId="11" r:id="rId3"/>
    <sheet name="TABULKA" sheetId="10" r:id="rId4"/>
    <sheet name="Kontrola" sheetId="3" state="hidden" r:id="rId5"/>
  </sheets>
  <externalReferences>
    <externalReference r:id="rId6"/>
  </externalReferences>
  <definedNames>
    <definedName name="_xlnm._FilterDatabase" localSheetId="1" hidden="1">ADRESACE!$A$1:$D$10</definedName>
    <definedName name="vyhodnoceni" localSheetId="1">[1]Kontrola!$B$6</definedName>
    <definedName name="vyhodnoceni">Kontrola!$B$6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B1" i="3"/>
  <c r="A3" i="3"/>
  <c r="A2" i="3"/>
  <c r="B2" i="3"/>
  <c r="A1" i="3" a="1"/>
  <c r="A1" i="3" s="1"/>
  <c r="B4" i="3" l="1"/>
  <c r="B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Kanice</author>
  </authors>
  <commentList>
    <comment ref="D2" authorId="0" shapeId="0" xr:uid="{543B1FD3-396B-4C2C-9590-7170D9511891}">
      <text>
        <r>
          <rPr>
            <b/>
            <sz val="8"/>
            <color indexed="10"/>
            <rFont val="Tahoma"/>
            <family val="2"/>
            <charset val="238"/>
          </rPr>
          <t>Hodnota bodu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<sst xmlns="http://schemas.openxmlformats.org/spreadsheetml/2006/main" count="242" uniqueCount="112">
  <si>
    <t>Měsíce</t>
  </si>
  <si>
    <t>Náklady</t>
  </si>
  <si>
    <t>Výnosy</t>
  </si>
  <si>
    <t>Zisk</t>
  </si>
  <si>
    <t>Zisk za I. pololetí:</t>
  </si>
  <si>
    <t>Průměrné měsíční náklady</t>
  </si>
  <si>
    <t>Výnosy za poslední čtvrtletí</t>
  </si>
  <si>
    <t>ID</t>
  </si>
  <si>
    <t>Jméno</t>
  </si>
  <si>
    <t>Věk</t>
  </si>
  <si>
    <t>Diagnóza</t>
  </si>
  <si>
    <t>Náklady (Kč)</t>
  </si>
  <si>
    <t>Datum výkonu</t>
  </si>
  <si>
    <t>Jiří Král</t>
  </si>
  <si>
    <t>Astma</t>
  </si>
  <si>
    <t>Jan Svoboda</t>
  </si>
  <si>
    <t>Hana Svoboda</t>
  </si>
  <si>
    <t>Diabetes</t>
  </si>
  <si>
    <t>Tomáš Procházka</t>
  </si>
  <si>
    <t>Jan Černý</t>
  </si>
  <si>
    <t>Covid-19</t>
  </si>
  <si>
    <t>Petr Jelínek</t>
  </si>
  <si>
    <t>Lucie Svoboda</t>
  </si>
  <si>
    <t>Hypertenze</t>
  </si>
  <si>
    <t>Lucie Kučera</t>
  </si>
  <si>
    <t>Hana Procházka</t>
  </si>
  <si>
    <t>Lucie Novák</t>
  </si>
  <si>
    <t>Marie Dvořák</t>
  </si>
  <si>
    <t>Anna Kučera</t>
  </si>
  <si>
    <t>Karel Horák</t>
  </si>
  <si>
    <t>Marie Novák</t>
  </si>
  <si>
    <t>Lucie Černý</t>
  </si>
  <si>
    <t>Chřipka</t>
  </si>
  <si>
    <t>Hana Černý</t>
  </si>
  <si>
    <t>Petr Svoboda</t>
  </si>
  <si>
    <t>Jiří Veselý</t>
  </si>
  <si>
    <t>Karel Jelínek</t>
  </si>
  <si>
    <t>Marie Jelínek</t>
  </si>
  <si>
    <t>Petr Kučera</t>
  </si>
  <si>
    <t>Anna Horák</t>
  </si>
  <si>
    <t>Tomáš Horák</t>
  </si>
  <si>
    <t>Jan Procházka</t>
  </si>
  <si>
    <t>Jan Jelínek</t>
  </si>
  <si>
    <t>Marie Veselý</t>
  </si>
  <si>
    <t>Jan Novák</t>
  </si>
  <si>
    <t>Eva Novák</t>
  </si>
  <si>
    <t>Tomáš Černý</t>
  </si>
  <si>
    <t>Jan Kučera</t>
  </si>
  <si>
    <t>Petr Černý</t>
  </si>
  <si>
    <t>Jan Král</t>
  </si>
  <si>
    <t>Tomáš Veselý</t>
  </si>
  <si>
    <t>Anna Procházka</t>
  </si>
  <si>
    <t>Anna Svoboda</t>
  </si>
  <si>
    <t>Tomáš Kučera</t>
  </si>
  <si>
    <t>Anna Veselý</t>
  </si>
  <si>
    <t>Anna Jelínek</t>
  </si>
  <si>
    <t>Karel Dvořák</t>
  </si>
  <si>
    <t>Marie Černý</t>
  </si>
  <si>
    <t>Tomáš Král</t>
  </si>
  <si>
    <t>Hana Horák</t>
  </si>
  <si>
    <t>Lucie Král</t>
  </si>
  <si>
    <t>Eva Procházka</t>
  </si>
  <si>
    <t>Hana Veselý</t>
  </si>
  <si>
    <t>Anna Novák</t>
  </si>
  <si>
    <t>Karel Král</t>
  </si>
  <si>
    <t>Jiří Jelínek</t>
  </si>
  <si>
    <t>Petr Procházka</t>
  </si>
  <si>
    <t>Marie Procházka</t>
  </si>
  <si>
    <t>Jiří Svoboda</t>
  </si>
  <si>
    <t>Anna Černý</t>
  </si>
  <si>
    <t>Marie Kučera</t>
  </si>
  <si>
    <t>Karel Černý</t>
  </si>
  <si>
    <t>Jan Dvořák</t>
  </si>
  <si>
    <t>Eva Dvořák</t>
  </si>
  <si>
    <t>Hana Král</t>
  </si>
  <si>
    <t>Eva Král</t>
  </si>
  <si>
    <t>Tomáš Novák</t>
  </si>
  <si>
    <t>Lucie Jelínek</t>
  </si>
  <si>
    <t>Hana Jelínek</t>
  </si>
  <si>
    <t>Karel Procházka</t>
  </si>
  <si>
    <t>Eva Veselý</t>
  </si>
  <si>
    <t>Karel Veselý</t>
  </si>
  <si>
    <t>Jiří Horák</t>
  </si>
  <si>
    <t>Měsíc</t>
  </si>
  <si>
    <t>Počet kontrol</t>
  </si>
  <si>
    <t>Počet zjištěných závad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</si>
  <si>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</si>
  <si>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</si>
  <si>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</si>
  <si>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</si>
  <si>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</si>
  <si>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</si>
  <si>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</si>
  <si>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</si>
  <si>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</si>
  <si>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</si>
  <si>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</si>
  <si>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</si>
  <si>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Míra závad v %</t>
  </si>
  <si>
    <t>Výkon</t>
  </si>
  <si>
    <t>Počet bodů</t>
  </si>
  <si>
    <t>Cena v Kč</t>
  </si>
  <si>
    <t>Hodnota 1 bodu</t>
  </si>
  <si>
    <t>RTG ramene</t>
  </si>
  <si>
    <t>Odstranění sádry</t>
  </si>
  <si>
    <t>EKG</t>
  </si>
  <si>
    <t>Odběr krve</t>
  </si>
  <si>
    <t>Infuze (krátkodobá)</t>
  </si>
  <si>
    <t>Chirurgie – primární ošetření rány</t>
  </si>
  <si>
    <t>Zavedení močového katétru</t>
  </si>
  <si>
    <t>Spirometrické vyšetření</t>
  </si>
  <si>
    <t>Repozice lokte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</si>
</sst>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7" formatCode="#,##0.00\ &quot;Kč&quot;;\-#,##0.00\ &quot;Kč&quot;"/>
    <numFmt numFmtId="8" formatCode="#,##0.00\ &quot;Kč&quot;;[Red]\-#,##0.00\ &quot;Kč&quot;"/>
    <numFmt numFmtId="43" formatCode="_-* #,##0.00_-;\-* #,##0.00_-;_-* &quot;-&quot;??_-;_-@_-"/>
    <numFmt numFmtId="164" formatCode=";;;"/>
    <numFmt numFmtId="165" formatCode="#,##0\ &quot;Kč&quot;"/>
    <numFmt numFmtId="168" formatCode="yyyy\-mm\-dd"/>
    <numFmt numFmtId="169" formatCode="_-* #,##0\ _K_č_-;\-* #,##0\ _K_č_-;_-* &quot;-&quot;??\ _K_č_-;_-@_-"/>
    <numFmt numFmtId="170" formatCode="#,##0.00\ &quot;Kč&quot;;\-#,##0.00\ &quot;Kč&quot;;[Red]0"/>
  </numFmts>
  <fonts count="2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7" tint="-0.499984740745262"/>
      <name val="Times New Roman"/>
      <family val="1"/>
      <charset val="238"/>
    </font>
    <font>
      <sz val="11"/>
      <color theme="1"/>
      <name val="Times New Roman"/>
      <family val="2"/>
      <charset val="238"/>
    </font>
    <font>
      <sz val="1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1"/>
      <name val="Times New Roman"/>
      <family val="2"/>
      <charset val="238"/>
    </font>
    <font>
      <b/>
      <sz val="11"/>
      <color theme="6"/>
      <name val="Calibri"/>
      <family val="2"/>
      <charset val="238"/>
      <scheme val="minor"/>
    </font>
    <font>
      <b/>
      <sz val="12"/>
      <color theme="6"/>
      <name val="Calibri"/>
      <family val="2"/>
      <charset val="238"/>
      <scheme val="minor"/>
    </font>
    <font>
      <sz val="11"/>
      <color theme="1"/>
      <name val="Calibri"/>
      <family val="2"/>
      <charset val="238"/>
      <scheme val="major"/>
    </font>
    <font>
      <sz val="10"/>
      <name val="Arial CE"/>
      <charset val="238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238"/>
      <scheme val="minor"/>
    </font>
    <font>
      <sz val="10"/>
      <name val="MS Sans"/>
      <charset val="238"/>
    </font>
    <font>
      <b/>
      <sz val="12"/>
      <color indexed="9"/>
      <name val="Calibri"/>
      <family val="2"/>
      <charset val="238"/>
    </font>
    <font>
      <sz val="1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sz val="12"/>
      <name val="Calibri"/>
      <family val="2"/>
      <charset val="238"/>
    </font>
    <font>
      <b/>
      <sz val="12"/>
      <color indexed="10"/>
      <name val="Calibri"/>
      <family val="2"/>
      <charset val="238"/>
    </font>
    <font>
      <b/>
      <sz val="8"/>
      <color indexed="10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7" tint="0.79998168889431442"/>
      </patternFill>
    </fill>
    <fill>
      <patternFill patternType="solid">
        <fgColor theme="4"/>
        <bgColor theme="7" tint="0.59999389629810485"/>
      </patternFill>
    </fill>
    <fill>
      <patternFill patternType="solid">
        <fgColor theme="6"/>
        <bgColor theme="7"/>
      </patternFill>
    </fill>
    <fill>
      <patternFill patternType="solid">
        <fgColor indexed="17"/>
        <bgColor indexed="10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10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0" borderId="0"/>
    <xf numFmtId="0" fontId="11" fillId="0" borderId="0"/>
    <xf numFmtId="0" fontId="1" fillId="0" borderId="0"/>
    <xf numFmtId="0" fontId="13" fillId="0" borderId="0"/>
    <xf numFmtId="43" fontId="1" fillId="0" borderId="0" applyFont="0" applyFill="0" applyBorder="0" applyAlignment="0" applyProtection="0"/>
    <xf numFmtId="0" fontId="16" fillId="0" borderId="0"/>
  </cellStyleXfs>
  <cellXfs count="41">
    <xf numFmtId="0" fontId="0" fillId="0" borderId="0" xfId="0"/>
    <xf numFmtId="0" fontId="1" fillId="0" borderId="0" xfId="2" applyFont="1"/>
    <xf numFmtId="164" fontId="1" fillId="0" borderId="0" xfId="2" applyNumberFormat="1" applyFont="1"/>
    <xf numFmtId="0" fontId="1" fillId="0" borderId="2" xfId="2" applyFont="1" applyBorder="1"/>
    <xf numFmtId="0" fontId="5" fillId="0" borderId="0" xfId="2" applyFont="1"/>
    <xf numFmtId="164" fontId="7" fillId="0" borderId="0" xfId="2" applyNumberFormat="1" applyFont="1"/>
    <xf numFmtId="164" fontId="4" fillId="0" borderId="0" xfId="2" applyNumberFormat="1"/>
    <xf numFmtId="164" fontId="3" fillId="0" borderId="0" xfId="2" applyNumberFormat="1" applyFont="1"/>
    <xf numFmtId="165" fontId="6" fillId="6" borderId="6" xfId="2" applyNumberFormat="1" applyFont="1" applyFill="1" applyBorder="1"/>
    <xf numFmtId="0" fontId="8" fillId="3" borderId="1" xfId="1" applyFont="1" applyFill="1" applyBorder="1"/>
    <xf numFmtId="0" fontId="8" fillId="3" borderId="0" xfId="1" applyFont="1" applyFill="1" applyBorder="1"/>
    <xf numFmtId="0" fontId="8" fillId="3" borderId="2" xfId="2" applyFont="1" applyFill="1" applyBorder="1"/>
    <xf numFmtId="0" fontId="4" fillId="0" borderId="0" xfId="2"/>
    <xf numFmtId="0" fontId="10" fillId="0" borderId="0" xfId="2" applyFont="1"/>
    <xf numFmtId="0" fontId="9" fillId="4" borderId="3" xfId="2" applyFont="1" applyFill="1" applyBorder="1" applyAlignment="1">
      <alignment horizontal="left"/>
    </xf>
    <xf numFmtId="0" fontId="9" fillId="4" borderId="4" xfId="2" applyFont="1" applyFill="1" applyBorder="1" applyAlignment="1">
      <alignment horizontal="left"/>
    </xf>
    <xf numFmtId="0" fontId="9" fillId="4" borderId="5" xfId="2" applyFont="1" applyFill="1" applyBorder="1" applyAlignment="1">
      <alignment horizontal="left"/>
    </xf>
    <xf numFmtId="0" fontId="9" fillId="5" borderId="7" xfId="2" applyFont="1" applyFill="1" applyBorder="1" applyAlignment="1">
      <alignment horizontal="left"/>
    </xf>
    <xf numFmtId="0" fontId="9" fillId="5" borderId="8" xfId="2" applyFont="1" applyFill="1" applyBorder="1" applyAlignment="1">
      <alignment horizontal="left"/>
    </xf>
    <xf numFmtId="0" fontId="9" fillId="4" borderId="9" xfId="2" applyFont="1" applyFill="1" applyBorder="1" applyAlignment="1">
      <alignment horizontal="left"/>
    </xf>
    <xf numFmtId="0" fontId="9" fillId="4" borderId="0" xfId="2" applyFont="1" applyFill="1" applyAlignment="1">
      <alignment horizontal="left"/>
    </xf>
    <xf numFmtId="0" fontId="9" fillId="4" borderId="10" xfId="2" applyFont="1" applyFill="1" applyBorder="1" applyAlignment="1">
      <alignment horizontal="left"/>
    </xf>
    <xf numFmtId="0" fontId="17" fillId="7" borderId="11" xfId="8" applyFont="1" applyFill="1" applyBorder="1"/>
    <xf numFmtId="0" fontId="17" fillId="7" borderId="12" xfId="8" applyFont="1" applyFill="1" applyBorder="1"/>
    <xf numFmtId="0" fontId="17" fillId="7" borderId="13" xfId="8" applyFont="1" applyFill="1" applyBorder="1" applyAlignment="1">
      <alignment horizontal="center"/>
    </xf>
    <xf numFmtId="0" fontId="17" fillId="7" borderId="12" xfId="8" applyFont="1" applyFill="1" applyBorder="1" applyAlignment="1">
      <alignment horizontal="center"/>
    </xf>
    <xf numFmtId="0" fontId="1" fillId="0" borderId="0" xfId="3"/>
    <xf numFmtId="0" fontId="17" fillId="7" borderId="14" xfId="8" applyFont="1" applyFill="1" applyBorder="1"/>
    <xf numFmtId="169" fontId="18" fillId="0" borderId="10" xfId="7" applyNumberFormat="1" applyFont="1" applyBorder="1"/>
    <xf numFmtId="7" fontId="19" fillId="8" borderId="2" xfId="8" applyNumberFormat="1" applyFont="1" applyFill="1" applyBorder="1" applyAlignment="1">
      <alignment horizontal="center"/>
    </xf>
    <xf numFmtId="8" fontId="20" fillId="9" borderId="15" xfId="8" applyNumberFormat="1" applyFont="1" applyFill="1" applyBorder="1" applyAlignment="1">
      <alignment horizontal="center"/>
    </xf>
    <xf numFmtId="170" fontId="21" fillId="8" borderId="2" xfId="8" applyNumberFormat="1" applyFont="1" applyFill="1" applyBorder="1" applyAlignment="1">
      <alignment horizontal="center"/>
    </xf>
    <xf numFmtId="0" fontId="18" fillId="0" borderId="16" xfId="8" applyFont="1" applyBorder="1"/>
    <xf numFmtId="0" fontId="17" fillId="7" borderId="17" xfId="8" applyFont="1" applyFill="1" applyBorder="1"/>
    <xf numFmtId="169" fontId="18" fillId="0" borderId="18" xfId="7" applyNumberFormat="1" applyFont="1" applyBorder="1"/>
    <xf numFmtId="170" fontId="21" fillId="8" borderId="19" xfId="8" applyNumberFormat="1" applyFont="1" applyFill="1" applyBorder="1" applyAlignment="1">
      <alignment horizontal="center"/>
    </xf>
    <xf numFmtId="0" fontId="18" fillId="0" borderId="20" xfId="8" applyFont="1" applyBorder="1"/>
    <xf numFmtId="0" fontId="14" fillId="0" borderId="0" xfId="6" applyNumberFormat="1" applyFont="1" applyFill="1" applyBorder="1" applyAlignment="1">
      <alignment horizontal="center" vertical="top"/>
    </xf>
    <xf numFmtId="0" fontId="12" fillId="0" borderId="0" xfId="6" applyFont="1" applyFill="1" applyBorder="1"/>
    <xf numFmtId="0" fontId="12" fillId="0" borderId="0" xfId="6" applyNumberFormat="1" applyFont="1" applyFill="1" applyBorder="1" applyAlignment="1"/>
    <xf numFmtId="168" fontId="12" fillId="0" borderId="0" xfId="6" applyNumberFormat="1" applyFont="1" applyFill="1" applyBorder="1" applyAlignment="1"/>
  </cellXfs>
  <cellStyles count="9">
    <cellStyle name="Čárka" xfId="7" builtinId="3"/>
    <cellStyle name="Normální" xfId="0" builtinId="0"/>
    <cellStyle name="Normální 2" xfId="2" xr:uid="{AFA48A35-3716-4586-9132-073A19454F20}"/>
    <cellStyle name="Normální 2 2" xfId="3" xr:uid="{3FC28ABC-CA22-49D4-A182-CD1CA5B65B1A}"/>
    <cellStyle name="Normální 2 2 2" xfId="4" xr:uid="{94C979C9-D82F-4354-9D2B-09153828CBFC}"/>
    <cellStyle name="Normální 2 2 2 2" xfId="5" xr:uid="{D648714A-5796-473A-A893-DC708FE8C0F1}"/>
    <cellStyle name="Normální 3" xfId="6" xr:uid="{49DB8B47-E9C6-4692-9558-430F27C4EB97}"/>
    <cellStyle name="normální_FDN2" xfId="8" xr:uid="{C1CF3E47-BD6D-41D0-91F4-808B5764A528}"/>
    <cellStyle name="Zvýraznění 5" xfId="1" builtinId="45"/>
  </cellStyles>
  <dxfs count="0"/>
  <tableStyles count="1" defaultTableStyle="TableStyleMedium2" defaultPivotStyle="PivotStyleLight16">
    <tableStyle name="Invisible" pivot="0" table="0" count="0" xr9:uid="{BC27ED5B-A9F6-4D1A-8AD4-DF8E8BE14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12</xdr:row>
      <xdr:rowOff>114300</xdr:rowOff>
    </xdr:from>
    <xdr:to>
      <xdr:col>8</xdr:col>
      <xdr:colOff>333375</xdr:colOff>
      <xdr:row>15</xdr:row>
      <xdr:rowOff>171450</xdr:rowOff>
    </xdr:to>
    <xdr:sp macro="" textlink="vyhodnoceni">
      <xdr:nvSpPr>
        <xdr:cNvPr id="2" name="Obdélníkový popisek 2">
          <a:extLst>
            <a:ext uri="{FF2B5EF4-FFF2-40B4-BE49-F238E27FC236}">
              <a16:creationId xmlns:a16="http://schemas.microsoft.com/office/drawing/2014/main" id="{E2BF3DF8-210C-4EC5-B826-D3FD9A56E669}"/>
            </a:ext>
          </a:extLst>
        </xdr:cNvPr>
        <xdr:cNvSpPr/>
      </xdr:nvSpPr>
      <xdr:spPr>
        <a:xfrm>
          <a:off x="4876800" y="2308860"/>
          <a:ext cx="2474595" cy="605790"/>
        </a:xfrm>
        <a:prstGeom prst="wedgeRectCallout">
          <a:avLst>
            <a:gd name="adj1" fmla="val -57477"/>
            <a:gd name="adj2" fmla="val 116565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fld id="{1D598CCB-28BA-4B0C-B7F5-D2A9F114C3BE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ctr"/>
            <a:t>Doplňte potřebné výpočty!</a:t>
          </a:fld>
          <a:endParaRPr lang="en-US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11</xdr:col>
      <xdr:colOff>243840</xdr:colOff>
      <xdr:row>0</xdr:row>
      <xdr:rowOff>76200</xdr:rowOff>
    </xdr:from>
    <xdr:to>
      <xdr:col>16</xdr:col>
      <xdr:colOff>426727</xdr:colOff>
      <xdr:row>10</xdr:row>
      <xdr:rowOff>21340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CDE8D9CB-C570-4881-9E56-F009768F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9760" y="76200"/>
          <a:ext cx="3307087" cy="17739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_2025/1_ZAKLADY.xlsx" TargetMode="External"/><Relationship Id="rId2" Type="http://schemas.openxmlformats.org/officeDocument/2006/relationships/externalLinkPath" Target="file:///C:\Users\radka\Desktop\EXCEL_2025\1_ZAKLADY.xlsx" TargetMode="External"/><Relationship Id="rId1" Type="http://schemas.openxmlformats.org/officeDocument/2006/relationships/externalLinkPath" Target="/Users/radka/Desktop/EXCEL_2025/1_ZAKLA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VOD"/>
      <sheetName val="Cvičení2"/>
      <sheetName val="ADRESACE"/>
      <sheetName val="FILTRY"/>
      <sheetName val="Kontrol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 t="str">
            <v>Doplňte potřebné výpočty!</v>
          </cell>
        </row>
      </sheetData>
    </sheetDataSet>
  </externalBook>
</externalLink>
</file>

<file path=xl/theme/theme1.xml><?xml version="1.0" encoding="utf-8"?>
<a:theme xmlns:a="http://schemas.openxmlformats.org/drawingml/2006/main" name="ICTPro">
  <a:themeElements>
    <a:clrScheme name="ICT Pr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B90F"/>
      </a:accent1>
      <a:accent2>
        <a:srgbClr val="ACABAB"/>
      </a:accent2>
      <a:accent3>
        <a:srgbClr val="381A0C"/>
      </a:accent3>
      <a:accent4>
        <a:srgbClr val="3A5BA7"/>
      </a:accent4>
      <a:accent5>
        <a:srgbClr val="67B54F"/>
      </a:accent5>
      <a:accent6>
        <a:srgbClr val="FFFFFF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9D76-EA50-44E2-9D37-5EB9EA7D6ED3}">
  <sheetPr>
    <tabColor theme="4"/>
  </sheetPr>
  <dimension ref="A1:K20"/>
  <sheetViews>
    <sheetView showGridLines="0" workbookViewId="0">
      <selection activeCell="A2" sqref="A2"/>
    </sheetView>
  </sheetViews>
  <sheetFormatPr defaultColWidth="9.109375" defaultRowHeight="14.4"/>
  <cols>
    <col min="1" max="1" width="12.88671875" style="1" customWidth="1"/>
    <col min="2" max="4" width="17.6640625" style="1" customWidth="1"/>
    <col min="5" max="9" width="9.109375" style="1"/>
    <col min="10" max="10" width="11" style="1" customWidth="1"/>
    <col min="11" max="11" width="12.6640625" style="2" customWidth="1"/>
    <col min="12" max="16384" width="9.109375" style="1"/>
  </cols>
  <sheetData>
    <row r="1" spans="1:11">
      <c r="A1" s="9" t="s">
        <v>0</v>
      </c>
      <c r="B1" s="9" t="s">
        <v>1</v>
      </c>
      <c r="C1" s="9" t="s">
        <v>2</v>
      </c>
      <c r="D1" s="10" t="s">
        <v>3</v>
      </c>
    </row>
    <row r="2" spans="1:11">
      <c r="A2" s="11"/>
      <c r="B2" s="3">
        <v>230560</v>
      </c>
      <c r="C2" s="3">
        <v>356980</v>
      </c>
      <c r="D2" s="3"/>
      <c r="F2"/>
      <c r="G2"/>
      <c r="H2"/>
      <c r="I2"/>
      <c r="J2"/>
      <c r="K2"/>
    </row>
    <row r="3" spans="1:11">
      <c r="A3" s="11"/>
      <c r="B3" s="3">
        <v>134090</v>
      </c>
      <c r="C3" s="3">
        <v>345780</v>
      </c>
      <c r="D3" s="3"/>
      <c r="F3"/>
      <c r="G3"/>
      <c r="H3"/>
      <c r="I3"/>
      <c r="J3"/>
      <c r="K3"/>
    </row>
    <row r="4" spans="1:11">
      <c r="A4" s="11"/>
      <c r="B4" s="3">
        <v>456988</v>
      </c>
      <c r="C4" s="3">
        <v>234600</v>
      </c>
      <c r="D4" s="3"/>
      <c r="F4"/>
      <c r="G4"/>
      <c r="H4"/>
      <c r="I4"/>
      <c r="J4"/>
      <c r="K4"/>
    </row>
    <row r="5" spans="1:11">
      <c r="A5" s="11"/>
      <c r="B5" s="3">
        <v>324000</v>
      </c>
      <c r="C5" s="3">
        <v>564800</v>
      </c>
      <c r="D5" s="3"/>
      <c r="F5"/>
      <c r="G5"/>
      <c r="H5"/>
      <c r="I5"/>
      <c r="J5"/>
      <c r="K5"/>
    </row>
    <row r="6" spans="1:11" ht="14.4" customHeight="1">
      <c r="A6" s="11"/>
      <c r="B6" s="3">
        <v>256980</v>
      </c>
      <c r="C6" s="3">
        <v>289700</v>
      </c>
      <c r="D6" s="3"/>
      <c r="F6"/>
      <c r="G6"/>
      <c r="H6"/>
      <c r="I6"/>
      <c r="J6"/>
      <c r="K6"/>
    </row>
    <row r="7" spans="1:11">
      <c r="A7" s="11"/>
      <c r="B7" s="3">
        <v>123900</v>
      </c>
      <c r="C7" s="3">
        <v>236500</v>
      </c>
      <c r="D7" s="3"/>
      <c r="F7"/>
      <c r="G7"/>
      <c r="H7"/>
      <c r="I7"/>
      <c r="J7"/>
      <c r="K7"/>
    </row>
    <row r="8" spans="1:11">
      <c r="A8" s="11"/>
      <c r="B8" s="3">
        <v>35000</v>
      </c>
      <c r="C8" s="3">
        <v>23760</v>
      </c>
      <c r="D8" s="3"/>
    </row>
    <row r="9" spans="1:11">
      <c r="A9" s="11"/>
      <c r="B9" s="3">
        <v>14870</v>
      </c>
      <c r="C9" s="3">
        <v>35640</v>
      </c>
      <c r="D9" s="3"/>
    </row>
    <row r="10" spans="1:11">
      <c r="A10" s="11"/>
      <c r="B10" s="3">
        <v>357000</v>
      </c>
      <c r="C10" s="3">
        <v>213890</v>
      </c>
      <c r="D10" s="3"/>
    </row>
    <row r="11" spans="1:11">
      <c r="A11" s="11"/>
      <c r="B11" s="3">
        <v>235000</v>
      </c>
      <c r="C11" s="3">
        <v>489000</v>
      </c>
      <c r="D11" s="3"/>
    </row>
    <row r="12" spans="1:11">
      <c r="A12" s="11"/>
      <c r="B12" s="3">
        <v>189700</v>
      </c>
      <c r="C12" s="3">
        <v>375400</v>
      </c>
      <c r="D12" s="3"/>
    </row>
    <row r="13" spans="1:11">
      <c r="A13" s="11"/>
      <c r="B13" s="3">
        <v>45000</v>
      </c>
      <c r="C13" s="3">
        <v>22870</v>
      </c>
      <c r="D13" s="3"/>
      <c r="H13" s="4"/>
    </row>
    <row r="16" spans="1:11" ht="15" thickBot="1"/>
    <row r="17" spans="1:6" ht="18.600000000000001" thickBot="1">
      <c r="A17" s="14" t="s">
        <v>4</v>
      </c>
      <c r="B17" s="15"/>
      <c r="C17" s="16"/>
      <c r="D17" s="8"/>
    </row>
    <row r="18" spans="1:6" ht="18.600000000000001" thickBot="1">
      <c r="A18" s="17" t="s">
        <v>5</v>
      </c>
      <c r="B18" s="17"/>
      <c r="C18" s="18"/>
      <c r="D18" s="8"/>
    </row>
    <row r="19" spans="1:6" ht="19.2" thickTop="1" thickBot="1">
      <c r="A19" s="19" t="s">
        <v>6</v>
      </c>
      <c r="B19" s="20"/>
      <c r="C19" s="21"/>
      <c r="D19" s="8"/>
      <c r="F19" s="13"/>
    </row>
    <row r="20" spans="1:6" ht="15" thickTop="1"/>
  </sheetData>
  <mergeCells count="3">
    <mergeCell ref="A17:C17"/>
    <mergeCell ref="A18:C18"/>
    <mergeCell ref="A19:C19"/>
  </mergeCells>
  <conditionalFormatting sqref="H1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6F9A-8479-4AE6-BAB7-3924559CAE15}">
  <sheetPr>
    <tabColor theme="5"/>
  </sheetPr>
  <dimension ref="A1:E25"/>
  <sheetViews>
    <sheetView zoomScaleNormal="100" workbookViewId="0">
      <selection activeCell="E7" sqref="E7"/>
    </sheetView>
  </sheetViews>
  <sheetFormatPr defaultColWidth="9.109375" defaultRowHeight="14.4"/>
  <cols>
    <col min="1" max="1" width="33.109375" style="26" bestFit="1" customWidth="1"/>
    <col min="2" max="2" width="11.6640625" style="26" bestFit="1" customWidth="1"/>
    <col min="3" max="3" width="14.44140625" style="26" customWidth="1"/>
    <col min="4" max="4" width="16.44140625" style="26" bestFit="1" customWidth="1"/>
    <col min="5" max="5" width="13" style="26" customWidth="1"/>
    <col min="6" max="16384" width="9.109375" style="26"/>
  </cols>
  <sheetData>
    <row r="1" spans="1:5" ht="21.6" customHeight="1" thickTop="1" thickBot="1">
      <c r="A1" s="22" t="s">
        <v>99</v>
      </c>
      <c r="B1" s="23" t="s">
        <v>100</v>
      </c>
      <c r="C1" s="24" t="s">
        <v>101</v>
      </c>
      <c r="D1" s="25" t="s">
        <v>102</v>
      </c>
      <c r="E1"/>
    </row>
    <row r="2" spans="1:5" ht="18.600000000000001" customHeight="1" thickTop="1" thickBot="1">
      <c r="A2" s="27" t="s">
        <v>105</v>
      </c>
      <c r="B2" s="28">
        <v>134</v>
      </c>
      <c r="C2" s="29"/>
      <c r="D2" s="30">
        <v>0.95</v>
      </c>
      <c r="E2"/>
    </row>
    <row r="3" spans="1:5" ht="18.600000000000001" customHeight="1" thickTop="1">
      <c r="A3" s="27" t="s">
        <v>108</v>
      </c>
      <c r="B3" s="28">
        <v>320</v>
      </c>
      <c r="C3" s="31"/>
      <c r="D3" s="32"/>
      <c r="E3"/>
    </row>
    <row r="4" spans="1:5" ht="18.600000000000001" customHeight="1">
      <c r="A4" s="27" t="s">
        <v>107</v>
      </c>
      <c r="B4" s="28">
        <v>210</v>
      </c>
      <c r="C4" s="31"/>
      <c r="D4" s="32"/>
      <c r="E4"/>
    </row>
    <row r="5" spans="1:5" ht="18.600000000000001" customHeight="1">
      <c r="A5" s="27" t="s">
        <v>106</v>
      </c>
      <c r="B5" s="28">
        <v>42</v>
      </c>
      <c r="C5" s="31"/>
      <c r="D5" s="32"/>
      <c r="E5"/>
    </row>
    <row r="6" spans="1:5" ht="18.600000000000001" customHeight="1">
      <c r="A6" s="27" t="s">
        <v>104</v>
      </c>
      <c r="B6" s="28">
        <v>100</v>
      </c>
      <c r="C6" s="31"/>
      <c r="D6" s="32"/>
      <c r="E6"/>
    </row>
    <row r="7" spans="1:5" ht="18.600000000000001" customHeight="1">
      <c r="A7" s="27" t="s">
        <v>111</v>
      </c>
      <c r="B7" s="28">
        <v>280</v>
      </c>
      <c r="C7" s="31"/>
      <c r="D7" s="32"/>
      <c r="E7"/>
    </row>
    <row r="8" spans="1:5" ht="18.600000000000001" customHeight="1">
      <c r="A8" s="27" t="s">
        <v>103</v>
      </c>
      <c r="B8" s="28">
        <v>180</v>
      </c>
      <c r="C8" s="31"/>
      <c r="D8" s="32"/>
      <c r="E8"/>
    </row>
    <row r="9" spans="1:5" ht="18.600000000000001" customHeight="1">
      <c r="A9" s="27" t="s">
        <v>110</v>
      </c>
      <c r="B9" s="28">
        <v>258</v>
      </c>
      <c r="C9" s="31"/>
      <c r="D9" s="32"/>
      <c r="E9"/>
    </row>
    <row r="10" spans="1:5" ht="18.600000000000001" customHeight="1" thickBot="1">
      <c r="A10" s="33" t="s">
        <v>109</v>
      </c>
      <c r="B10" s="34">
        <v>340</v>
      </c>
      <c r="C10" s="35"/>
      <c r="D10" s="36"/>
      <c r="E10"/>
    </row>
    <row r="11" spans="1:5" ht="18.600000000000001" customHeight="1">
      <c r="A11"/>
      <c r="B11"/>
      <c r="C11"/>
      <c r="D11"/>
      <c r="E11"/>
    </row>
    <row r="12" spans="1:5" ht="18.600000000000001" customHeight="1">
      <c r="A12"/>
      <c r="B12"/>
      <c r="C12"/>
      <c r="D12"/>
      <c r="E12"/>
    </row>
    <row r="13" spans="1:5" ht="18.600000000000001" customHeight="1">
      <c r="A13"/>
      <c r="B13"/>
      <c r="C13"/>
      <c r="D13"/>
      <c r="E13"/>
    </row>
    <row r="14" spans="1:5" ht="18.600000000000001" customHeight="1">
      <c r="A14"/>
      <c r="B14"/>
      <c r="C14"/>
      <c r="D14"/>
      <c r="E14"/>
    </row>
    <row r="15" spans="1:5">
      <c r="A15"/>
      <c r="B15"/>
      <c r="C15"/>
      <c r="D15"/>
      <c r="E15"/>
    </row>
    <row r="16" spans="1:5">
      <c r="A16"/>
      <c r="B16"/>
      <c r="C16"/>
      <c r="D16"/>
      <c r="E16"/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  <row r="24" spans="1:5">
      <c r="A24"/>
      <c r="B24"/>
      <c r="C24"/>
      <c r="D24"/>
      <c r="E24"/>
    </row>
    <row r="25" spans="1:5">
      <c r="A25"/>
      <c r="B25"/>
      <c r="C25"/>
      <c r="D25"/>
      <c r="E25"/>
    </row>
  </sheetData>
  <pageMargins left="0.7" right="0.7" top="0.78740157499999996" bottom="0.78740157499999996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517A-9A5D-4F0F-A9D1-1A95E90C1F7D}">
  <dimension ref="A1:D13"/>
  <sheetViews>
    <sheetView workbookViewId="0">
      <selection activeCell="F10" sqref="F10"/>
    </sheetView>
  </sheetViews>
  <sheetFormatPr defaultRowHeight="14.4"/>
  <cols>
    <col min="1" max="1" width="13.5546875" customWidth="1"/>
    <col min="2" max="2" width="12" bestFit="1" customWidth="1"/>
    <col min="3" max="3" width="19.33203125" bestFit="1" customWidth="1"/>
    <col min="4" max="4" width="14.88671875" customWidth="1"/>
  </cols>
  <sheetData>
    <row r="1" spans="1:4">
      <c r="A1" t="s">
        <v>83</v>
      </c>
      <c r="B1" t="s">
        <v>84</v>
      </c>
      <c r="C1" t="s">
        <v>85</v>
      </c>
      <c r="D1" t="s">
        <v>98</v>
      </c>
    </row>
    <row r="2" spans="1:4">
      <c r="A2" t="s">
        <v>86</v>
      </c>
      <c r="B2">
        <v>120</v>
      </c>
      <c r="C2">
        <v>25</v>
      </c>
    </row>
    <row r="3" spans="1:4">
      <c r="A3" t="s">
        <v>87</v>
      </c>
      <c r="B3">
        <v>95</v>
      </c>
      <c r="C3">
        <v>18</v>
      </c>
    </row>
    <row r="4" spans="1:4">
      <c r="A4" t="s">
        <v>88</v>
      </c>
      <c r="B4">
        <v>110</v>
      </c>
      <c r="C4">
        <v>22</v>
      </c>
    </row>
    <row r="5" spans="1:4">
      <c r="A5" t="s">
        <v>89</v>
      </c>
      <c r="B5">
        <v>130</v>
      </c>
      <c r="C5">
        <v>30</v>
      </c>
    </row>
    <row r="6" spans="1:4">
      <c r="A6" t="s">
        <v>90</v>
      </c>
      <c r="B6">
        <v>145</v>
      </c>
      <c r="C6">
        <v>35</v>
      </c>
    </row>
    <row r="7" spans="1:4">
      <c r="A7" t="s">
        <v>91</v>
      </c>
      <c r="B7">
        <v>160</v>
      </c>
      <c r="C7">
        <v>40</v>
      </c>
    </row>
    <row r="8" spans="1:4">
      <c r="A8" t="s">
        <v>92</v>
      </c>
      <c r="B8">
        <v>150</v>
      </c>
      <c r="C8">
        <v>38</v>
      </c>
    </row>
    <row r="9" spans="1:4">
      <c r="A9" t="s">
        <v>93</v>
      </c>
      <c r="B9">
        <v>140</v>
      </c>
      <c r="C9">
        <v>28</v>
      </c>
    </row>
    <row r="10" spans="1:4">
      <c r="A10" t="s">
        <v>94</v>
      </c>
      <c r="B10">
        <v>155</v>
      </c>
      <c r="C10">
        <v>33</v>
      </c>
    </row>
    <row r="11" spans="1:4">
      <c r="A11" t="s">
        <v>95</v>
      </c>
      <c r="B11">
        <v>170</v>
      </c>
      <c r="C11">
        <v>45</v>
      </c>
    </row>
    <row r="12" spans="1:4">
      <c r="A12" t="s">
        <v>96</v>
      </c>
      <c r="B12">
        <v>180</v>
      </c>
      <c r="C12">
        <v>50</v>
      </c>
    </row>
    <row r="13" spans="1:4">
      <c r="A13" t="s">
        <v>97</v>
      </c>
      <c r="B13">
        <v>165</v>
      </c>
      <c r="C13">
        <v>42</v>
      </c>
    </row>
  </sheetData>
  <phoneticPr fontId="15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64CD-F55E-4B07-B645-0A03D0299D85}">
  <dimension ref="A1:F101"/>
  <sheetViews>
    <sheetView tabSelected="1" workbookViewId="0">
      <selection activeCell="F2" sqref="F2"/>
    </sheetView>
  </sheetViews>
  <sheetFormatPr defaultRowHeight="14.4"/>
  <cols>
    <col min="1" max="1" width="7.21875" style="38" bestFit="1" customWidth="1"/>
    <col min="2" max="2" width="15.33203125" style="38" bestFit="1" customWidth="1"/>
    <col min="3" max="3" width="8.6640625" style="38" bestFit="1" customWidth="1"/>
    <col min="4" max="4" width="13.109375" style="38" bestFit="1" customWidth="1"/>
    <col min="5" max="5" width="16.109375" style="38" bestFit="1" customWidth="1"/>
    <col min="6" max="6" width="18" style="38" bestFit="1" customWidth="1"/>
    <col min="7" max="9" width="8.88671875" style="38"/>
    <col min="10" max="10" width="11.21875" style="38" bestFit="1" customWidth="1"/>
    <col min="11" max="11" width="17.88671875" style="38" customWidth="1"/>
    <col min="12" max="16384" width="8.88671875" style="38"/>
  </cols>
  <sheetData>
    <row r="1" spans="1:6">
      <c r="A1" s="37" t="s">
        <v>7</v>
      </c>
      <c r="B1" s="37" t="s">
        <v>8</v>
      </c>
      <c r="C1" s="37" t="s">
        <v>9</v>
      </c>
      <c r="D1" s="37" t="s">
        <v>10</v>
      </c>
      <c r="E1" s="37" t="s">
        <v>11</v>
      </c>
      <c r="F1" s="37" t="s">
        <v>12</v>
      </c>
    </row>
    <row r="2" spans="1:6">
      <c r="A2" s="39">
        <v>1</v>
      </c>
      <c r="B2" s="39" t="s">
        <v>13</v>
      </c>
      <c r="C2" s="39">
        <v>62</v>
      </c>
      <c r="D2" s="39" t="s">
        <v>14</v>
      </c>
      <c r="E2" s="39">
        <v>8436</v>
      </c>
      <c r="F2" s="40">
        <v>45378</v>
      </c>
    </row>
    <row r="3" spans="1:6">
      <c r="A3" s="39">
        <v>2</v>
      </c>
      <c r="B3" s="39" t="s">
        <v>15</v>
      </c>
      <c r="C3" s="39">
        <v>39</v>
      </c>
      <c r="D3" s="39" t="s">
        <v>14</v>
      </c>
      <c r="E3" s="39">
        <v>14090</v>
      </c>
      <c r="F3" s="40">
        <v>45733</v>
      </c>
    </row>
    <row r="4" spans="1:6">
      <c r="A4" s="39">
        <v>3</v>
      </c>
      <c r="B4" s="39" t="s">
        <v>16</v>
      </c>
      <c r="C4" s="39">
        <v>29</v>
      </c>
      <c r="D4" s="39" t="s">
        <v>17</v>
      </c>
      <c r="E4" s="39">
        <v>11268</v>
      </c>
      <c r="F4" s="40">
        <v>45706</v>
      </c>
    </row>
    <row r="5" spans="1:6">
      <c r="A5" s="39">
        <v>4</v>
      </c>
      <c r="B5" s="39" t="s">
        <v>18</v>
      </c>
      <c r="C5" s="39">
        <v>66</v>
      </c>
      <c r="D5" s="39" t="s">
        <v>17</v>
      </c>
      <c r="E5" s="39">
        <v>2799</v>
      </c>
      <c r="F5" s="40">
        <v>45323</v>
      </c>
    </row>
    <row r="6" spans="1:6">
      <c r="A6" s="39">
        <v>5</v>
      </c>
      <c r="B6" s="39" t="s">
        <v>19</v>
      </c>
      <c r="C6" s="39">
        <v>39</v>
      </c>
      <c r="D6" s="39" t="s">
        <v>20</v>
      </c>
      <c r="E6" s="39">
        <v>5076</v>
      </c>
      <c r="F6" s="40">
        <v>45757</v>
      </c>
    </row>
    <row r="7" spans="1:6">
      <c r="A7" s="39">
        <v>6</v>
      </c>
      <c r="B7" s="39" t="s">
        <v>21</v>
      </c>
      <c r="C7" s="39">
        <v>56</v>
      </c>
      <c r="D7" s="39" t="s">
        <v>14</v>
      </c>
      <c r="E7" s="39">
        <v>6661</v>
      </c>
      <c r="F7" s="40">
        <v>45493</v>
      </c>
    </row>
    <row r="8" spans="1:6">
      <c r="A8" s="39">
        <v>7</v>
      </c>
      <c r="B8" s="39" t="s">
        <v>22</v>
      </c>
      <c r="C8" s="39">
        <v>21</v>
      </c>
      <c r="D8" s="39" t="s">
        <v>23</v>
      </c>
      <c r="E8" s="39">
        <v>6299</v>
      </c>
      <c r="F8" s="40">
        <v>45677</v>
      </c>
    </row>
    <row r="9" spans="1:6">
      <c r="A9" s="39">
        <v>8</v>
      </c>
      <c r="B9" s="39" t="s">
        <v>16</v>
      </c>
      <c r="C9" s="39">
        <v>62</v>
      </c>
      <c r="D9" s="39" t="s">
        <v>23</v>
      </c>
      <c r="E9" s="39">
        <v>9436</v>
      </c>
      <c r="F9" s="40">
        <v>45507</v>
      </c>
    </row>
    <row r="10" spans="1:6">
      <c r="A10" s="39">
        <v>9</v>
      </c>
      <c r="B10" s="39" t="s">
        <v>24</v>
      </c>
      <c r="C10" s="39">
        <v>80</v>
      </c>
      <c r="D10" s="39" t="s">
        <v>23</v>
      </c>
      <c r="E10" s="39">
        <v>10358</v>
      </c>
      <c r="F10" s="40">
        <v>45652</v>
      </c>
    </row>
    <row r="11" spans="1:6">
      <c r="A11" s="39">
        <v>10</v>
      </c>
      <c r="B11" s="39" t="s">
        <v>25</v>
      </c>
      <c r="C11" s="39">
        <v>62</v>
      </c>
      <c r="D11" s="39" t="s">
        <v>23</v>
      </c>
      <c r="E11" s="39">
        <v>539</v>
      </c>
      <c r="F11" s="40">
        <v>45354</v>
      </c>
    </row>
    <row r="12" spans="1:6">
      <c r="A12" s="39">
        <v>11</v>
      </c>
      <c r="B12" s="39" t="s">
        <v>26</v>
      </c>
      <c r="C12" s="39">
        <v>38</v>
      </c>
      <c r="D12" s="39" t="s">
        <v>20</v>
      </c>
      <c r="E12" s="39">
        <v>18841</v>
      </c>
      <c r="F12" s="40">
        <v>45508</v>
      </c>
    </row>
    <row r="13" spans="1:6">
      <c r="A13" s="39">
        <v>12</v>
      </c>
      <c r="B13" s="39" t="s">
        <v>27</v>
      </c>
      <c r="C13" s="39">
        <v>20</v>
      </c>
      <c r="D13" s="39" t="s">
        <v>20</v>
      </c>
      <c r="E13" s="39">
        <v>16502</v>
      </c>
      <c r="F13" s="40">
        <v>45437</v>
      </c>
    </row>
    <row r="14" spans="1:6">
      <c r="A14" s="39">
        <v>13</v>
      </c>
      <c r="B14" s="39" t="s">
        <v>24</v>
      </c>
      <c r="C14" s="39">
        <v>80</v>
      </c>
      <c r="D14" s="39" t="s">
        <v>14</v>
      </c>
      <c r="E14" s="39">
        <v>887</v>
      </c>
      <c r="F14" s="40">
        <v>45991</v>
      </c>
    </row>
    <row r="15" spans="1:6">
      <c r="A15" s="39">
        <v>14</v>
      </c>
      <c r="B15" s="39" t="s">
        <v>28</v>
      </c>
      <c r="C15" s="39">
        <v>48</v>
      </c>
      <c r="D15" s="39" t="s">
        <v>14</v>
      </c>
      <c r="E15" s="39">
        <v>9249</v>
      </c>
      <c r="F15" s="40">
        <v>45367</v>
      </c>
    </row>
    <row r="16" spans="1:6">
      <c r="A16" s="39">
        <v>15</v>
      </c>
      <c r="B16" s="39" t="s">
        <v>29</v>
      </c>
      <c r="C16" s="39">
        <v>27</v>
      </c>
      <c r="D16" s="39" t="s">
        <v>17</v>
      </c>
      <c r="E16" s="39">
        <v>8929</v>
      </c>
      <c r="F16" s="40">
        <v>45542</v>
      </c>
    </row>
    <row r="17" spans="1:6">
      <c r="A17" s="39">
        <v>16</v>
      </c>
      <c r="B17" s="39" t="s">
        <v>30</v>
      </c>
      <c r="C17" s="39">
        <v>82</v>
      </c>
      <c r="D17" s="39" t="s">
        <v>23</v>
      </c>
      <c r="E17" s="39">
        <v>11818</v>
      </c>
      <c r="F17" s="40">
        <v>45816</v>
      </c>
    </row>
    <row r="18" spans="1:6">
      <c r="A18" s="39">
        <v>17</v>
      </c>
      <c r="B18" s="39" t="s">
        <v>31</v>
      </c>
      <c r="C18" s="39">
        <v>33</v>
      </c>
      <c r="D18" s="39" t="s">
        <v>32</v>
      </c>
      <c r="E18" s="39">
        <v>19630</v>
      </c>
      <c r="F18" s="40">
        <v>45647</v>
      </c>
    </row>
    <row r="19" spans="1:6">
      <c r="A19" s="39">
        <v>18</v>
      </c>
      <c r="B19" s="39" t="s">
        <v>33</v>
      </c>
      <c r="C19" s="39">
        <v>33</v>
      </c>
      <c r="D19" s="39" t="s">
        <v>23</v>
      </c>
      <c r="E19" s="39">
        <v>7187</v>
      </c>
      <c r="F19" s="40">
        <v>45712</v>
      </c>
    </row>
    <row r="20" spans="1:6">
      <c r="A20" s="39">
        <v>19</v>
      </c>
      <c r="B20" s="39" t="s">
        <v>34</v>
      </c>
      <c r="C20" s="39">
        <v>82</v>
      </c>
      <c r="D20" s="39" t="s">
        <v>14</v>
      </c>
      <c r="E20" s="39">
        <v>18478</v>
      </c>
      <c r="F20" s="40">
        <v>45982</v>
      </c>
    </row>
    <row r="21" spans="1:6">
      <c r="A21" s="39">
        <v>20</v>
      </c>
      <c r="B21" s="39" t="s">
        <v>35</v>
      </c>
      <c r="C21" s="39">
        <v>50</v>
      </c>
      <c r="D21" s="39" t="s">
        <v>14</v>
      </c>
      <c r="E21" s="39">
        <v>12989</v>
      </c>
      <c r="F21" s="40">
        <v>45887</v>
      </c>
    </row>
    <row r="22" spans="1:6">
      <c r="A22" s="39">
        <v>21</v>
      </c>
      <c r="B22" s="39" t="s">
        <v>36</v>
      </c>
      <c r="C22" s="39">
        <v>86</v>
      </c>
      <c r="D22" s="39" t="s">
        <v>17</v>
      </c>
      <c r="E22" s="39">
        <v>16209</v>
      </c>
      <c r="F22" s="40">
        <v>45362</v>
      </c>
    </row>
    <row r="23" spans="1:6">
      <c r="A23" s="39">
        <v>22</v>
      </c>
      <c r="B23" s="39" t="s">
        <v>37</v>
      </c>
      <c r="C23" s="39">
        <v>87</v>
      </c>
      <c r="D23" s="39" t="s">
        <v>14</v>
      </c>
      <c r="E23" s="39">
        <v>5467</v>
      </c>
      <c r="F23" s="40">
        <v>46010</v>
      </c>
    </row>
    <row r="24" spans="1:6">
      <c r="A24" s="39">
        <v>23</v>
      </c>
      <c r="B24" s="39" t="s">
        <v>38</v>
      </c>
      <c r="C24" s="39">
        <v>44</v>
      </c>
      <c r="D24" s="39" t="s">
        <v>32</v>
      </c>
      <c r="E24" s="39">
        <v>13629</v>
      </c>
      <c r="F24" s="40">
        <v>45452</v>
      </c>
    </row>
    <row r="25" spans="1:6">
      <c r="A25" s="39">
        <v>24</v>
      </c>
      <c r="B25" s="39" t="s">
        <v>39</v>
      </c>
      <c r="C25" s="39">
        <v>26</v>
      </c>
      <c r="D25" s="39" t="s">
        <v>32</v>
      </c>
      <c r="E25" s="39">
        <v>4960</v>
      </c>
      <c r="F25" s="40">
        <v>45704</v>
      </c>
    </row>
    <row r="26" spans="1:6">
      <c r="A26" s="39">
        <v>25</v>
      </c>
      <c r="B26" s="39" t="s">
        <v>40</v>
      </c>
      <c r="C26" s="39">
        <v>80</v>
      </c>
      <c r="D26" s="39" t="s">
        <v>14</v>
      </c>
      <c r="E26" s="39">
        <v>3821</v>
      </c>
      <c r="F26" s="40">
        <v>45423</v>
      </c>
    </row>
    <row r="27" spans="1:6">
      <c r="A27" s="39">
        <v>26</v>
      </c>
      <c r="B27" s="39" t="s">
        <v>41</v>
      </c>
      <c r="C27" s="39">
        <v>23</v>
      </c>
      <c r="D27" s="39" t="s">
        <v>20</v>
      </c>
      <c r="E27" s="39">
        <v>10162</v>
      </c>
      <c r="F27" s="40">
        <v>46011</v>
      </c>
    </row>
    <row r="28" spans="1:6">
      <c r="A28" s="39">
        <v>27</v>
      </c>
      <c r="B28" s="39" t="s">
        <v>42</v>
      </c>
      <c r="C28" s="39">
        <v>52</v>
      </c>
      <c r="D28" s="39" t="s">
        <v>32</v>
      </c>
      <c r="E28" s="39">
        <v>11515</v>
      </c>
      <c r="F28" s="40">
        <v>45658</v>
      </c>
    </row>
    <row r="29" spans="1:6">
      <c r="A29" s="39">
        <v>28</v>
      </c>
      <c r="B29" s="39" t="s">
        <v>43</v>
      </c>
      <c r="C29" s="39">
        <v>81</v>
      </c>
      <c r="D29" s="39" t="s">
        <v>23</v>
      </c>
      <c r="E29" s="39">
        <v>2094</v>
      </c>
      <c r="F29" s="40">
        <v>45769</v>
      </c>
    </row>
    <row r="30" spans="1:6">
      <c r="A30" s="39">
        <v>29</v>
      </c>
      <c r="B30" s="39" t="s">
        <v>39</v>
      </c>
      <c r="C30" s="39">
        <v>73</v>
      </c>
      <c r="D30" s="39" t="s">
        <v>20</v>
      </c>
      <c r="E30" s="39">
        <v>4133</v>
      </c>
      <c r="F30" s="40">
        <v>45584</v>
      </c>
    </row>
    <row r="31" spans="1:6">
      <c r="A31" s="39">
        <v>30</v>
      </c>
      <c r="B31" s="39" t="s">
        <v>16</v>
      </c>
      <c r="C31" s="39">
        <v>44</v>
      </c>
      <c r="D31" s="39" t="s">
        <v>17</v>
      </c>
      <c r="E31" s="39">
        <v>1625</v>
      </c>
      <c r="F31" s="40">
        <v>45690</v>
      </c>
    </row>
    <row r="32" spans="1:6">
      <c r="A32" s="39">
        <v>31</v>
      </c>
      <c r="B32" s="39" t="s">
        <v>44</v>
      </c>
      <c r="C32" s="39">
        <v>27</v>
      </c>
      <c r="D32" s="39" t="s">
        <v>20</v>
      </c>
      <c r="E32" s="39">
        <v>1646</v>
      </c>
      <c r="F32" s="40">
        <v>45418</v>
      </c>
    </row>
    <row r="33" spans="1:6">
      <c r="A33" s="39">
        <v>32</v>
      </c>
      <c r="B33" s="39" t="s">
        <v>45</v>
      </c>
      <c r="C33" s="39">
        <v>32</v>
      </c>
      <c r="D33" s="39" t="s">
        <v>32</v>
      </c>
      <c r="E33" s="39">
        <v>5722</v>
      </c>
      <c r="F33" s="40">
        <v>45913</v>
      </c>
    </row>
    <row r="34" spans="1:6">
      <c r="A34" s="39">
        <v>33</v>
      </c>
      <c r="B34" s="39" t="s">
        <v>46</v>
      </c>
      <c r="C34" s="39">
        <v>79</v>
      </c>
      <c r="D34" s="39" t="s">
        <v>20</v>
      </c>
      <c r="E34" s="39">
        <v>18161</v>
      </c>
      <c r="F34" s="40">
        <v>45401</v>
      </c>
    </row>
    <row r="35" spans="1:6">
      <c r="A35" s="39">
        <v>34</v>
      </c>
      <c r="B35" s="39" t="s">
        <v>27</v>
      </c>
      <c r="C35" s="39">
        <v>70</v>
      </c>
      <c r="D35" s="39" t="s">
        <v>14</v>
      </c>
      <c r="E35" s="39">
        <v>8983</v>
      </c>
      <c r="F35" s="40">
        <v>45796</v>
      </c>
    </row>
    <row r="36" spans="1:6">
      <c r="A36" s="39">
        <v>35</v>
      </c>
      <c r="B36" s="39" t="s">
        <v>47</v>
      </c>
      <c r="C36" s="39">
        <v>80</v>
      </c>
      <c r="D36" s="39" t="s">
        <v>23</v>
      </c>
      <c r="E36" s="39">
        <v>6849</v>
      </c>
      <c r="F36" s="40">
        <v>45543</v>
      </c>
    </row>
    <row r="37" spans="1:6">
      <c r="A37" s="39">
        <v>36</v>
      </c>
      <c r="B37" s="39" t="s">
        <v>48</v>
      </c>
      <c r="C37" s="39">
        <v>52</v>
      </c>
      <c r="D37" s="39" t="s">
        <v>32</v>
      </c>
      <c r="E37" s="39">
        <v>8376</v>
      </c>
      <c r="F37" s="40">
        <v>45802</v>
      </c>
    </row>
    <row r="38" spans="1:6">
      <c r="A38" s="39">
        <v>37</v>
      </c>
      <c r="B38" s="39" t="s">
        <v>49</v>
      </c>
      <c r="C38" s="39">
        <v>20</v>
      </c>
      <c r="D38" s="39" t="s">
        <v>17</v>
      </c>
      <c r="E38" s="39">
        <v>8307</v>
      </c>
      <c r="F38" s="40">
        <v>45840</v>
      </c>
    </row>
    <row r="39" spans="1:6">
      <c r="A39" s="39">
        <v>38</v>
      </c>
      <c r="B39" s="39" t="s">
        <v>31</v>
      </c>
      <c r="C39" s="39">
        <v>89</v>
      </c>
      <c r="D39" s="39" t="s">
        <v>17</v>
      </c>
      <c r="E39" s="39">
        <v>4583</v>
      </c>
      <c r="F39" s="40">
        <v>45801</v>
      </c>
    </row>
    <row r="40" spans="1:6">
      <c r="A40" s="39">
        <v>39</v>
      </c>
      <c r="B40" s="39" t="s">
        <v>50</v>
      </c>
      <c r="C40" s="39">
        <v>30</v>
      </c>
      <c r="D40" s="39" t="s">
        <v>23</v>
      </c>
      <c r="E40" s="39">
        <v>16252</v>
      </c>
      <c r="F40" s="40">
        <v>45417</v>
      </c>
    </row>
    <row r="41" spans="1:6">
      <c r="A41" s="39">
        <v>40</v>
      </c>
      <c r="B41" s="39" t="s">
        <v>51</v>
      </c>
      <c r="C41" s="39">
        <v>19</v>
      </c>
      <c r="D41" s="39" t="s">
        <v>14</v>
      </c>
      <c r="E41" s="39">
        <v>14741</v>
      </c>
      <c r="F41" s="40">
        <v>45363</v>
      </c>
    </row>
    <row r="42" spans="1:6">
      <c r="A42" s="39">
        <v>41</v>
      </c>
      <c r="B42" s="39" t="s">
        <v>26</v>
      </c>
      <c r="C42" s="39">
        <v>75</v>
      </c>
      <c r="D42" s="39" t="s">
        <v>32</v>
      </c>
      <c r="E42" s="39">
        <v>2340</v>
      </c>
      <c r="F42" s="40">
        <v>45453</v>
      </c>
    </row>
    <row r="43" spans="1:6">
      <c r="A43" s="39">
        <v>42</v>
      </c>
      <c r="B43" s="39" t="s">
        <v>52</v>
      </c>
      <c r="C43" s="39">
        <v>66</v>
      </c>
      <c r="D43" s="39" t="s">
        <v>32</v>
      </c>
      <c r="E43" s="39">
        <v>4829</v>
      </c>
      <c r="F43" s="40">
        <v>45805</v>
      </c>
    </row>
    <row r="44" spans="1:6">
      <c r="A44" s="39">
        <v>43</v>
      </c>
      <c r="B44" s="39" t="s">
        <v>53</v>
      </c>
      <c r="C44" s="39">
        <v>40</v>
      </c>
      <c r="D44" s="39" t="s">
        <v>23</v>
      </c>
      <c r="E44" s="39">
        <v>19378</v>
      </c>
      <c r="F44" s="40">
        <v>45345</v>
      </c>
    </row>
    <row r="45" spans="1:6">
      <c r="A45" s="39">
        <v>44</v>
      </c>
      <c r="B45" s="39" t="s">
        <v>54</v>
      </c>
      <c r="C45" s="39">
        <v>87</v>
      </c>
      <c r="D45" s="39" t="s">
        <v>23</v>
      </c>
      <c r="E45" s="39">
        <v>5209</v>
      </c>
      <c r="F45" s="40">
        <v>45586</v>
      </c>
    </row>
    <row r="46" spans="1:6">
      <c r="A46" s="39">
        <v>45</v>
      </c>
      <c r="B46" s="39" t="s">
        <v>55</v>
      </c>
      <c r="C46" s="39">
        <v>77</v>
      </c>
      <c r="D46" s="39" t="s">
        <v>32</v>
      </c>
      <c r="E46" s="39">
        <v>11299</v>
      </c>
      <c r="F46" s="40">
        <v>45468</v>
      </c>
    </row>
    <row r="47" spans="1:6">
      <c r="A47" s="39">
        <v>46</v>
      </c>
      <c r="B47" s="39" t="s">
        <v>56</v>
      </c>
      <c r="C47" s="39">
        <v>32</v>
      </c>
      <c r="D47" s="39" t="s">
        <v>14</v>
      </c>
      <c r="E47" s="39">
        <v>1179</v>
      </c>
      <c r="F47" s="40">
        <v>45714</v>
      </c>
    </row>
    <row r="48" spans="1:6">
      <c r="A48" s="39">
        <v>47</v>
      </c>
      <c r="B48" s="39" t="s">
        <v>50</v>
      </c>
      <c r="C48" s="39">
        <v>37</v>
      </c>
      <c r="D48" s="39" t="s">
        <v>17</v>
      </c>
      <c r="E48" s="39">
        <v>19984</v>
      </c>
      <c r="F48" s="40">
        <v>45433</v>
      </c>
    </row>
    <row r="49" spans="1:6">
      <c r="A49" s="39">
        <v>48</v>
      </c>
      <c r="B49" s="39" t="s">
        <v>49</v>
      </c>
      <c r="C49" s="39">
        <v>24</v>
      </c>
      <c r="D49" s="39" t="s">
        <v>14</v>
      </c>
      <c r="E49" s="39">
        <v>18658</v>
      </c>
      <c r="F49" s="40">
        <v>45518</v>
      </c>
    </row>
    <row r="50" spans="1:6">
      <c r="A50" s="39">
        <v>49</v>
      </c>
      <c r="B50" s="39" t="s">
        <v>57</v>
      </c>
      <c r="C50" s="39">
        <v>52</v>
      </c>
      <c r="D50" s="39" t="s">
        <v>32</v>
      </c>
      <c r="E50" s="39">
        <v>2263</v>
      </c>
      <c r="F50" s="40">
        <v>45958</v>
      </c>
    </row>
    <row r="51" spans="1:6">
      <c r="A51" s="39">
        <v>50</v>
      </c>
      <c r="B51" s="39" t="s">
        <v>58</v>
      </c>
      <c r="C51" s="39">
        <v>61</v>
      </c>
      <c r="D51" s="39" t="s">
        <v>32</v>
      </c>
      <c r="E51" s="39">
        <v>934</v>
      </c>
      <c r="F51" s="40">
        <v>45525</v>
      </c>
    </row>
    <row r="52" spans="1:6">
      <c r="A52" s="39">
        <v>51</v>
      </c>
      <c r="B52" s="39" t="s">
        <v>36</v>
      </c>
      <c r="C52" s="39">
        <v>68</v>
      </c>
      <c r="D52" s="39" t="s">
        <v>32</v>
      </c>
      <c r="E52" s="39">
        <v>15684</v>
      </c>
      <c r="F52" s="40">
        <v>45734</v>
      </c>
    </row>
    <row r="53" spans="1:6">
      <c r="A53" s="39">
        <v>52</v>
      </c>
      <c r="B53" s="39" t="s">
        <v>21</v>
      </c>
      <c r="C53" s="39">
        <v>85</v>
      </c>
      <c r="D53" s="39" t="s">
        <v>23</v>
      </c>
      <c r="E53" s="39">
        <v>14100</v>
      </c>
      <c r="F53" s="40">
        <v>45999</v>
      </c>
    </row>
    <row r="54" spans="1:6">
      <c r="A54" s="39">
        <v>53</v>
      </c>
      <c r="B54" s="39" t="s">
        <v>59</v>
      </c>
      <c r="C54" s="39">
        <v>89</v>
      </c>
      <c r="D54" s="39" t="s">
        <v>17</v>
      </c>
      <c r="E54" s="39">
        <v>16283</v>
      </c>
      <c r="F54" s="40">
        <v>45637</v>
      </c>
    </row>
    <row r="55" spans="1:6">
      <c r="A55" s="39">
        <v>54</v>
      </c>
      <c r="B55" s="39" t="s">
        <v>60</v>
      </c>
      <c r="C55" s="39">
        <v>80</v>
      </c>
      <c r="D55" s="39" t="s">
        <v>20</v>
      </c>
      <c r="E55" s="39">
        <v>13257</v>
      </c>
      <c r="F55" s="40">
        <v>45898</v>
      </c>
    </row>
    <row r="56" spans="1:6">
      <c r="A56" s="39">
        <v>55</v>
      </c>
      <c r="B56" s="39" t="s">
        <v>15</v>
      </c>
      <c r="C56" s="39">
        <v>72</v>
      </c>
      <c r="D56" s="39" t="s">
        <v>20</v>
      </c>
      <c r="E56" s="39">
        <v>19559</v>
      </c>
      <c r="F56" s="40">
        <v>45933</v>
      </c>
    </row>
    <row r="57" spans="1:6">
      <c r="A57" s="39">
        <v>56</v>
      </c>
      <c r="B57" s="39" t="s">
        <v>61</v>
      </c>
      <c r="C57" s="39">
        <v>83</v>
      </c>
      <c r="D57" s="39" t="s">
        <v>32</v>
      </c>
      <c r="E57" s="39">
        <v>17322</v>
      </c>
      <c r="F57" s="40">
        <v>45860</v>
      </c>
    </row>
    <row r="58" spans="1:6">
      <c r="A58" s="39">
        <v>57</v>
      </c>
      <c r="B58" s="39" t="s">
        <v>19</v>
      </c>
      <c r="C58" s="39">
        <v>35</v>
      </c>
      <c r="D58" s="39" t="s">
        <v>17</v>
      </c>
      <c r="E58" s="39">
        <v>18219</v>
      </c>
      <c r="F58" s="40">
        <v>45550</v>
      </c>
    </row>
    <row r="59" spans="1:6">
      <c r="A59" s="39">
        <v>58</v>
      </c>
      <c r="B59" s="39" t="s">
        <v>62</v>
      </c>
      <c r="C59" s="39">
        <v>65</v>
      </c>
      <c r="D59" s="39" t="s">
        <v>32</v>
      </c>
      <c r="E59" s="39">
        <v>7220</v>
      </c>
      <c r="F59" s="40">
        <v>45550</v>
      </c>
    </row>
    <row r="60" spans="1:6">
      <c r="A60" s="39">
        <v>59</v>
      </c>
      <c r="B60" s="39" t="s">
        <v>41</v>
      </c>
      <c r="C60" s="39">
        <v>74</v>
      </c>
      <c r="D60" s="39" t="s">
        <v>14</v>
      </c>
      <c r="E60" s="39">
        <v>6637</v>
      </c>
      <c r="F60" s="40">
        <v>45443</v>
      </c>
    </row>
    <row r="61" spans="1:6">
      <c r="A61" s="39">
        <v>60</v>
      </c>
      <c r="B61" s="39" t="s">
        <v>59</v>
      </c>
      <c r="C61" s="39">
        <v>60</v>
      </c>
      <c r="D61" s="39" t="s">
        <v>17</v>
      </c>
      <c r="E61" s="39">
        <v>13987</v>
      </c>
      <c r="F61" s="40">
        <v>45949</v>
      </c>
    </row>
    <row r="62" spans="1:6">
      <c r="A62" s="39">
        <v>61</v>
      </c>
      <c r="B62" s="39" t="s">
        <v>56</v>
      </c>
      <c r="C62" s="39">
        <v>34</v>
      </c>
      <c r="D62" s="39" t="s">
        <v>14</v>
      </c>
      <c r="E62" s="39">
        <v>6542</v>
      </c>
      <c r="F62" s="40">
        <v>45697</v>
      </c>
    </row>
    <row r="63" spans="1:6">
      <c r="A63" s="39">
        <v>62</v>
      </c>
      <c r="B63" s="39" t="s">
        <v>52</v>
      </c>
      <c r="C63" s="39">
        <v>51</v>
      </c>
      <c r="D63" s="39" t="s">
        <v>32</v>
      </c>
      <c r="E63" s="39">
        <v>2562</v>
      </c>
      <c r="F63" s="40">
        <v>45741</v>
      </c>
    </row>
    <row r="64" spans="1:6">
      <c r="A64" s="39">
        <v>63</v>
      </c>
      <c r="B64" s="39" t="s">
        <v>63</v>
      </c>
      <c r="C64" s="39">
        <v>70</v>
      </c>
      <c r="D64" s="39" t="s">
        <v>20</v>
      </c>
      <c r="E64" s="39">
        <v>15096</v>
      </c>
      <c r="F64" s="40">
        <v>45703</v>
      </c>
    </row>
    <row r="65" spans="1:6">
      <c r="A65" s="39">
        <v>64</v>
      </c>
      <c r="B65" s="39" t="s">
        <v>39</v>
      </c>
      <c r="C65" s="39">
        <v>75</v>
      </c>
      <c r="D65" s="39" t="s">
        <v>14</v>
      </c>
      <c r="E65" s="39">
        <v>19898</v>
      </c>
      <c r="F65" s="40">
        <v>45827</v>
      </c>
    </row>
    <row r="66" spans="1:6">
      <c r="A66" s="39">
        <v>65</v>
      </c>
      <c r="B66" s="39" t="s">
        <v>64</v>
      </c>
      <c r="C66" s="39">
        <v>84</v>
      </c>
      <c r="D66" s="39" t="s">
        <v>20</v>
      </c>
      <c r="E66" s="39">
        <v>3592</v>
      </c>
      <c r="F66" s="40">
        <v>45666</v>
      </c>
    </row>
    <row r="67" spans="1:6">
      <c r="A67" s="39">
        <v>66</v>
      </c>
      <c r="B67" s="39" t="s">
        <v>65</v>
      </c>
      <c r="C67" s="39">
        <v>21</v>
      </c>
      <c r="D67" s="39" t="s">
        <v>17</v>
      </c>
      <c r="E67" s="39">
        <v>6686</v>
      </c>
      <c r="F67" s="40">
        <v>45349</v>
      </c>
    </row>
    <row r="68" spans="1:6">
      <c r="A68" s="39">
        <v>67</v>
      </c>
      <c r="B68" s="39" t="s">
        <v>42</v>
      </c>
      <c r="C68" s="39">
        <v>88</v>
      </c>
      <c r="D68" s="39" t="s">
        <v>23</v>
      </c>
      <c r="E68" s="39">
        <v>1913</v>
      </c>
      <c r="F68" s="40">
        <v>45525</v>
      </c>
    </row>
    <row r="69" spans="1:6">
      <c r="A69" s="39">
        <v>68</v>
      </c>
      <c r="B69" s="39" t="s">
        <v>66</v>
      </c>
      <c r="C69" s="39">
        <v>74</v>
      </c>
      <c r="D69" s="39" t="s">
        <v>14</v>
      </c>
      <c r="E69" s="39">
        <v>3084</v>
      </c>
      <c r="F69" s="40">
        <v>45561</v>
      </c>
    </row>
    <row r="70" spans="1:6">
      <c r="A70" s="39">
        <v>69</v>
      </c>
      <c r="B70" s="39" t="s">
        <v>67</v>
      </c>
      <c r="C70" s="39">
        <v>51</v>
      </c>
      <c r="D70" s="39" t="s">
        <v>17</v>
      </c>
      <c r="E70" s="39">
        <v>4152</v>
      </c>
      <c r="F70" s="40">
        <v>46022</v>
      </c>
    </row>
    <row r="71" spans="1:6">
      <c r="A71" s="39">
        <v>70</v>
      </c>
      <c r="B71" s="39" t="s">
        <v>68</v>
      </c>
      <c r="C71" s="39">
        <v>64</v>
      </c>
      <c r="D71" s="39" t="s">
        <v>23</v>
      </c>
      <c r="E71" s="39">
        <v>16349</v>
      </c>
      <c r="F71" s="40">
        <v>45966</v>
      </c>
    </row>
    <row r="72" spans="1:6">
      <c r="A72" s="39">
        <v>71</v>
      </c>
      <c r="B72" s="39" t="s">
        <v>69</v>
      </c>
      <c r="C72" s="39">
        <v>28</v>
      </c>
      <c r="D72" s="39" t="s">
        <v>23</v>
      </c>
      <c r="E72" s="39">
        <v>14305</v>
      </c>
      <c r="F72" s="40">
        <v>45627</v>
      </c>
    </row>
    <row r="73" spans="1:6">
      <c r="A73" s="39">
        <v>72</v>
      </c>
      <c r="B73" s="39" t="s">
        <v>25</v>
      </c>
      <c r="C73" s="39">
        <v>76</v>
      </c>
      <c r="D73" s="39" t="s">
        <v>32</v>
      </c>
      <c r="E73" s="39">
        <v>8554</v>
      </c>
      <c r="F73" s="40">
        <v>45571</v>
      </c>
    </row>
    <row r="74" spans="1:6">
      <c r="A74" s="39">
        <v>73</v>
      </c>
      <c r="B74" s="39" t="s">
        <v>66</v>
      </c>
      <c r="C74" s="39">
        <v>61</v>
      </c>
      <c r="D74" s="39" t="s">
        <v>14</v>
      </c>
      <c r="E74" s="39">
        <v>15764</v>
      </c>
      <c r="F74" s="40">
        <v>45309</v>
      </c>
    </row>
    <row r="75" spans="1:6">
      <c r="A75" s="39">
        <v>74</v>
      </c>
      <c r="B75" s="39" t="s">
        <v>70</v>
      </c>
      <c r="C75" s="39">
        <v>33</v>
      </c>
      <c r="D75" s="39" t="s">
        <v>17</v>
      </c>
      <c r="E75" s="39">
        <v>8411</v>
      </c>
      <c r="F75" s="40">
        <v>45860</v>
      </c>
    </row>
    <row r="76" spans="1:6">
      <c r="A76" s="39">
        <v>75</v>
      </c>
      <c r="B76" s="39" t="s">
        <v>38</v>
      </c>
      <c r="C76" s="39">
        <v>26</v>
      </c>
      <c r="D76" s="39" t="s">
        <v>23</v>
      </c>
      <c r="E76" s="39">
        <v>6809</v>
      </c>
      <c r="F76" s="40">
        <v>45565</v>
      </c>
    </row>
    <row r="77" spans="1:6">
      <c r="A77" s="39">
        <v>76</v>
      </c>
      <c r="B77" s="39" t="s">
        <v>71</v>
      </c>
      <c r="C77" s="39">
        <v>67</v>
      </c>
      <c r="D77" s="39" t="s">
        <v>32</v>
      </c>
      <c r="E77" s="39">
        <v>2323</v>
      </c>
      <c r="F77" s="40">
        <v>45373</v>
      </c>
    </row>
    <row r="78" spans="1:6">
      <c r="A78" s="39">
        <v>77</v>
      </c>
      <c r="B78" s="39" t="s">
        <v>55</v>
      </c>
      <c r="C78" s="39">
        <v>24</v>
      </c>
      <c r="D78" s="39" t="s">
        <v>23</v>
      </c>
      <c r="E78" s="39">
        <v>5966</v>
      </c>
      <c r="F78" s="40">
        <v>45505</v>
      </c>
    </row>
    <row r="79" spans="1:6">
      <c r="A79" s="39">
        <v>78</v>
      </c>
      <c r="B79" s="39" t="s">
        <v>72</v>
      </c>
      <c r="C79" s="39">
        <v>42</v>
      </c>
      <c r="D79" s="39" t="s">
        <v>14</v>
      </c>
      <c r="E79" s="39">
        <v>19423</v>
      </c>
      <c r="F79" s="40">
        <v>45515</v>
      </c>
    </row>
    <row r="80" spans="1:6">
      <c r="A80" s="39">
        <v>79</v>
      </c>
      <c r="B80" s="39" t="s">
        <v>73</v>
      </c>
      <c r="C80" s="39">
        <v>23</v>
      </c>
      <c r="D80" s="39" t="s">
        <v>17</v>
      </c>
      <c r="E80" s="39">
        <v>12832</v>
      </c>
      <c r="F80" s="40">
        <v>45434</v>
      </c>
    </row>
    <row r="81" spans="1:6">
      <c r="A81" s="39">
        <v>80</v>
      </c>
      <c r="B81" s="39" t="s">
        <v>13</v>
      </c>
      <c r="C81" s="39">
        <v>89</v>
      </c>
      <c r="D81" s="39" t="s">
        <v>17</v>
      </c>
      <c r="E81" s="39">
        <v>11275</v>
      </c>
      <c r="F81" s="40">
        <v>45345</v>
      </c>
    </row>
    <row r="82" spans="1:6">
      <c r="A82" s="39">
        <v>81</v>
      </c>
      <c r="B82" s="39" t="s">
        <v>74</v>
      </c>
      <c r="C82" s="39">
        <v>63</v>
      </c>
      <c r="D82" s="39" t="s">
        <v>20</v>
      </c>
      <c r="E82" s="39">
        <v>5149</v>
      </c>
      <c r="F82" s="40">
        <v>45340</v>
      </c>
    </row>
    <row r="83" spans="1:6">
      <c r="A83" s="39">
        <v>82</v>
      </c>
      <c r="B83" s="39" t="s">
        <v>75</v>
      </c>
      <c r="C83" s="39">
        <v>49</v>
      </c>
      <c r="D83" s="39" t="s">
        <v>17</v>
      </c>
      <c r="E83" s="39">
        <v>18204</v>
      </c>
      <c r="F83" s="40">
        <v>45666</v>
      </c>
    </row>
    <row r="84" spans="1:6">
      <c r="A84" s="39">
        <v>83</v>
      </c>
      <c r="B84" s="39" t="s">
        <v>76</v>
      </c>
      <c r="C84" s="39">
        <v>56</v>
      </c>
      <c r="D84" s="39" t="s">
        <v>17</v>
      </c>
      <c r="E84" s="39">
        <v>19550</v>
      </c>
      <c r="F84" s="40">
        <v>45564</v>
      </c>
    </row>
    <row r="85" spans="1:6">
      <c r="A85" s="39">
        <v>84</v>
      </c>
      <c r="B85" s="39" t="s">
        <v>64</v>
      </c>
      <c r="C85" s="39">
        <v>68</v>
      </c>
      <c r="D85" s="39" t="s">
        <v>14</v>
      </c>
      <c r="E85" s="39">
        <v>18440</v>
      </c>
      <c r="F85" s="40">
        <v>45596</v>
      </c>
    </row>
    <row r="86" spans="1:6">
      <c r="A86" s="39">
        <v>85</v>
      </c>
      <c r="B86" s="39" t="s">
        <v>16</v>
      </c>
      <c r="C86" s="39">
        <v>59</v>
      </c>
      <c r="D86" s="39" t="s">
        <v>14</v>
      </c>
      <c r="E86" s="39">
        <v>11295</v>
      </c>
      <c r="F86" s="40">
        <v>45378</v>
      </c>
    </row>
    <row r="87" spans="1:6">
      <c r="A87" s="39">
        <v>86</v>
      </c>
      <c r="B87" s="39" t="s">
        <v>77</v>
      </c>
      <c r="C87" s="39">
        <v>27</v>
      </c>
      <c r="D87" s="39" t="s">
        <v>23</v>
      </c>
      <c r="E87" s="39">
        <v>17602</v>
      </c>
      <c r="F87" s="40">
        <v>45844</v>
      </c>
    </row>
    <row r="88" spans="1:6">
      <c r="A88" s="39">
        <v>87</v>
      </c>
      <c r="B88" s="39" t="s">
        <v>40</v>
      </c>
      <c r="C88" s="39">
        <v>56</v>
      </c>
      <c r="D88" s="39" t="s">
        <v>17</v>
      </c>
      <c r="E88" s="39">
        <v>5248</v>
      </c>
      <c r="F88" s="40">
        <v>45429</v>
      </c>
    </row>
    <row r="89" spans="1:6">
      <c r="A89" s="39">
        <v>88</v>
      </c>
      <c r="B89" s="39" t="s">
        <v>78</v>
      </c>
      <c r="C89" s="39">
        <v>43</v>
      </c>
      <c r="D89" s="39" t="s">
        <v>14</v>
      </c>
      <c r="E89" s="39">
        <v>16832</v>
      </c>
      <c r="F89" s="40">
        <v>45658</v>
      </c>
    </row>
    <row r="90" spans="1:6">
      <c r="A90" s="39">
        <v>89</v>
      </c>
      <c r="B90" s="39" t="s">
        <v>79</v>
      </c>
      <c r="C90" s="39">
        <v>58</v>
      </c>
      <c r="D90" s="39" t="s">
        <v>17</v>
      </c>
      <c r="E90" s="39">
        <v>18235</v>
      </c>
      <c r="F90" s="40">
        <v>45849</v>
      </c>
    </row>
    <row r="91" spans="1:6">
      <c r="A91" s="39">
        <v>90</v>
      </c>
      <c r="B91" s="39" t="s">
        <v>60</v>
      </c>
      <c r="C91" s="39">
        <v>55</v>
      </c>
      <c r="D91" s="39" t="s">
        <v>32</v>
      </c>
      <c r="E91" s="39">
        <v>16777</v>
      </c>
      <c r="F91" s="40">
        <v>45492</v>
      </c>
    </row>
    <row r="92" spans="1:6">
      <c r="A92" s="39">
        <v>91</v>
      </c>
      <c r="B92" s="39" t="s">
        <v>48</v>
      </c>
      <c r="C92" s="39">
        <v>72</v>
      </c>
      <c r="D92" s="39" t="s">
        <v>20</v>
      </c>
      <c r="E92" s="39">
        <v>13218</v>
      </c>
      <c r="F92" s="40">
        <v>45807</v>
      </c>
    </row>
    <row r="93" spans="1:6">
      <c r="A93" s="39">
        <v>92</v>
      </c>
      <c r="B93" s="39" t="s">
        <v>80</v>
      </c>
      <c r="C93" s="39">
        <v>45</v>
      </c>
      <c r="D93" s="39" t="s">
        <v>17</v>
      </c>
      <c r="E93" s="39">
        <v>15292</v>
      </c>
      <c r="F93" s="40">
        <v>45813</v>
      </c>
    </row>
    <row r="94" spans="1:6">
      <c r="A94" s="39">
        <v>93</v>
      </c>
      <c r="B94" s="39" t="s">
        <v>30</v>
      </c>
      <c r="C94" s="39">
        <v>18</v>
      </c>
      <c r="D94" s="39" t="s">
        <v>32</v>
      </c>
      <c r="E94" s="39">
        <v>4263</v>
      </c>
      <c r="F94" s="40">
        <v>46024</v>
      </c>
    </row>
    <row r="95" spans="1:6">
      <c r="A95" s="39">
        <v>94</v>
      </c>
      <c r="B95" s="39" t="s">
        <v>81</v>
      </c>
      <c r="C95" s="39">
        <v>19</v>
      </c>
      <c r="D95" s="39" t="s">
        <v>17</v>
      </c>
      <c r="E95" s="39">
        <v>10033</v>
      </c>
      <c r="F95" s="40">
        <v>45971</v>
      </c>
    </row>
    <row r="96" spans="1:6">
      <c r="A96" s="39">
        <v>95</v>
      </c>
      <c r="B96" s="39" t="s">
        <v>82</v>
      </c>
      <c r="C96" s="39">
        <v>89</v>
      </c>
      <c r="D96" s="39" t="s">
        <v>32</v>
      </c>
      <c r="E96" s="39">
        <v>4000</v>
      </c>
      <c r="F96" s="40">
        <v>45433</v>
      </c>
    </row>
    <row r="97" spans="1:6">
      <c r="A97" s="39">
        <v>96</v>
      </c>
      <c r="B97" s="39" t="s">
        <v>40</v>
      </c>
      <c r="C97" s="39">
        <v>23</v>
      </c>
      <c r="D97" s="39" t="s">
        <v>32</v>
      </c>
      <c r="E97" s="39">
        <v>5541</v>
      </c>
      <c r="F97" s="40">
        <v>45861</v>
      </c>
    </row>
    <row r="98" spans="1:6">
      <c r="A98" s="39">
        <v>97</v>
      </c>
      <c r="B98" s="39" t="s">
        <v>19</v>
      </c>
      <c r="C98" s="39">
        <v>71</v>
      </c>
      <c r="D98" s="39" t="s">
        <v>14</v>
      </c>
      <c r="E98" s="39">
        <v>15016</v>
      </c>
      <c r="F98" s="40">
        <v>45914</v>
      </c>
    </row>
    <row r="99" spans="1:6">
      <c r="A99" s="39">
        <v>98</v>
      </c>
      <c r="B99" s="39" t="s">
        <v>21</v>
      </c>
      <c r="C99" s="39">
        <v>19</v>
      </c>
      <c r="D99" s="39" t="s">
        <v>23</v>
      </c>
      <c r="E99" s="39">
        <v>19662</v>
      </c>
      <c r="F99" s="40">
        <v>45498</v>
      </c>
    </row>
    <row r="100" spans="1:6">
      <c r="A100" s="39">
        <v>99</v>
      </c>
      <c r="B100" s="39" t="s">
        <v>68</v>
      </c>
      <c r="C100" s="39">
        <v>57</v>
      </c>
      <c r="D100" s="39" t="s">
        <v>20</v>
      </c>
      <c r="E100" s="39">
        <v>16515</v>
      </c>
      <c r="F100" s="40">
        <v>45376</v>
      </c>
    </row>
    <row r="101" spans="1:6">
      <c r="A101" s="39">
        <v>100</v>
      </c>
      <c r="B101" s="39" t="s">
        <v>80</v>
      </c>
      <c r="C101" s="39">
        <v>74</v>
      </c>
      <c r="D101" s="39" t="s">
        <v>14</v>
      </c>
      <c r="E101" s="39">
        <v>13453</v>
      </c>
      <c r="F101" s="40">
        <v>45626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3E89-0D0F-4F4A-878D-FA17C32DA83F}">
  <dimension ref="A1:B6"/>
  <sheetViews>
    <sheetView workbookViewId="0">
      <selection activeCell="B6" sqref="B6"/>
    </sheetView>
  </sheetViews>
  <sheetFormatPr defaultColWidth="9.109375" defaultRowHeight="13.8"/>
  <cols>
    <col min="1" max="2" width="9.109375" style="12"/>
    <col min="3" max="16384" width="9.109375" style="6"/>
  </cols>
  <sheetData>
    <row r="1" spans="1:2">
      <c r="A1" s="5" cm="1">
        <f t="array" ref="A1">SUM(UVOD!C2:C7-UVOD!B2:B7)</f>
        <v>501842</v>
      </c>
      <c r="B1" s="5">
        <f>IF(UVOD!D17=Kontrola!A1,1,0)</f>
        <v>0</v>
      </c>
    </row>
    <row r="2" spans="1:2">
      <c r="A2" s="5">
        <f>AVERAGE(UVOD!B2:B13)</f>
        <v>200257.33333333334</v>
      </c>
      <c r="B2" s="5">
        <f>IF(UVOD!D18=Kontrola!A2,1,0)</f>
        <v>0</v>
      </c>
    </row>
    <row r="3" spans="1:2">
      <c r="A3" s="5">
        <f>SUM(UVOD!C11:C13)</f>
        <v>887270</v>
      </c>
      <c r="B3" s="5">
        <f>IF(UVOD!D19=Kontrola!A3,1,0)</f>
        <v>0</v>
      </c>
    </row>
    <row r="4" spans="1:2">
      <c r="A4" s="6"/>
      <c r="B4" s="5">
        <f>SUM(B1:B3)</f>
        <v>0</v>
      </c>
    </row>
    <row r="5" spans="1:2">
      <c r="A5" s="6"/>
      <c r="B5" s="6"/>
    </row>
    <row r="6" spans="1:2" ht="17.399999999999999">
      <c r="A6" s="6"/>
      <c r="B6" s="7" t="str">
        <f>IF(B4=3,"Správný výsledek:-)","Doplňte potřebné výpočty!")</f>
        <v>Doplňte potřebné výpočty!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UVOD</vt:lpstr>
      <vt:lpstr>ADRESACE</vt:lpstr>
      <vt:lpstr>CVICENI</vt:lpstr>
      <vt:lpstr>TABULKA</vt:lpstr>
      <vt:lpstr>Kontrola</vt:lpstr>
      <vt:lpstr>vyhodnoceni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Radka Kokojanová</dc:creator>
  <cp:lastModifiedBy>Radka Kokojanová</cp:lastModifiedBy>
  <dcterms:created xsi:type="dcterms:W3CDTF">2022-09-07T14:36:52Z</dcterms:created>
  <dcterms:modified xsi:type="dcterms:W3CDTF">2026-02-14T19:41:51Z</dcterms:modified>
</cp:coreProperties>
</file>